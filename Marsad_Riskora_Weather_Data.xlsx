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البيانات الشاملة للطقس" sheetId="1" state="visible" r:id="rId1"/>
    <sheet xmlns:r="http://schemas.openxmlformats.org/officeDocument/2006/relationships" name="الحسابات والمؤشرات" sheetId="2" state="visible" r:id="rId2"/>
    <sheet xmlns:r="http://schemas.openxmlformats.org/officeDocument/2006/relationships" name="تحليل نقطة التعويض" sheetId="3" state="visible" r:id="rId3"/>
    <sheet xmlns:r="http://schemas.openxmlformats.org/officeDocument/2006/relationships" name="النتائج والملخص" sheetId="4" state="visible" r:id="rId4"/>
  </sheets>
  <definedNames/>
  <calcPr calcId="191028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#,##0\ &quot;ريال&quot;"/>
    <numFmt numFmtId="166" formatCode="#,##0\ &quot;سنوات&quot;"/>
    <numFmt numFmtId="167" formatCode="0.0%"/>
    <numFmt numFmtId="168" formatCode="#,##0.0\ &quot;mm&quot;"/>
    <numFmt numFmtId="169" formatCode="#,##0.0\ &quot;km/h&quot;"/>
    <numFmt numFmtId="170" formatCode="#,##0.0\ &quot;°C&quot;"/>
    <numFmt numFmtId="171" formatCode="0.0"/>
    <numFmt numFmtId="172" formatCode="#,##0\ &quot;mm&quot;"/>
    <numFmt numFmtId="173" formatCode="#,##0\ &quot;km/h&quot;"/>
    <numFmt numFmtId="174" formatCode="#,##0\ &quot;°C&quot;"/>
  </numFmts>
  <fonts count="10">
    <font>
      <name val="Arial"/>
      <family val="2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FF1B365D"/>
      <sz val="13"/>
    </font>
    <font>
      <name val="Calibri"/>
      <b val="1"/>
      <color rgb="00C00000"/>
      <sz val="11"/>
    </font>
    <font>
      <name val="Arial"/>
      <b val="1"/>
      <color rgb="00C00000"/>
      <sz val="11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C4D75"/>
        <bgColor rgb="FF2C4D75"/>
      </patternFill>
    </fill>
    <fill>
      <patternFill patternType="solid">
        <fgColor rgb="FFEBF3FA"/>
        <bgColor rgb="FFEBF3FA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17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71" fontId="3" fillId="0" borderId="1" applyAlignment="1" pivotButton="0" quotePrefix="0" xfId="0">
      <alignment horizontal="center" vertical="center"/>
    </xf>
    <xf numFmtId="172" fontId="4" fillId="0" borderId="0" pivotButton="0" quotePrefix="0" xfId="0"/>
    <xf numFmtId="171" fontId="4" fillId="0" borderId="0" pivotButton="0" quotePrefix="0" xfId="0"/>
    <xf numFmtId="0" fontId="2" fillId="3" borderId="0" pivotButton="0" quotePrefix="0" xfId="0"/>
    <xf numFmtId="0" fontId="5" fillId="0" borderId="0" pivotButton="0" quotePrefix="0" xfId="0"/>
    <xf numFmtId="173" fontId="4" fillId="0" borderId="1" applyAlignment="1" pivotButton="0" quotePrefix="0" xfId="0">
      <alignment horizontal="center" vertical="center"/>
    </xf>
    <xf numFmtId="174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49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</cellXfs>
  <cellStyles count="1">
    <cellStyle name="عادي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B14" authorId="0" shapeId="0">
      <text>
        <t>لا تعرضي هذه القيم على أنها بيانات رسمية. لاستبدالها ببيانات حقيقية، يلزم تحديد المنطقة ومصدر الرصد المناخي.</t>
      </text>
    </comment>
    <comment ref="B25" authorId="0" shapeId="0">
      <text>
        <t>لا تعرضي هذه القيم على أنها بيانات رسمية. لاستبدالها ببيانات حقيقية، يلزم تحديد المنطقة ومصدر الرصد المناخي.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rightToLeft="1" tabSelected="1" workbookViewId="0">
      <selection activeCell="A28" sqref="A28"/>
    </sheetView>
  </sheetViews>
  <sheetFormatPr baseColWidth="8" defaultRowHeight="13.5"/>
  <cols>
    <col width="15.93359375" customWidth="1" style="29" min="1" max="1"/>
    <col width="21.94140625" customWidth="1" style="29" min="2" max="2"/>
    <col width="23.046875" customWidth="1" style="29" min="3" max="3"/>
    <col width="29.0546875" customWidth="1" style="29" min="4" max="4"/>
    <col width="15.93359375" customWidth="1" style="29" min="5" max="5"/>
    <col width="21.94140625" customWidth="1" style="29" min="6" max="6"/>
    <col width="25.98828125" customWidth="1" style="29" min="7" max="7"/>
  </cols>
  <sheetData>
    <row r="1" ht="35.1" customHeight="1" s="29">
      <c r="A1" s="28" t="inlineStr">
        <is>
          <t>مرصد رسكورا - سجل البيانات المناخية الشاملة (الأمطار، الرياح، الحرارة)</t>
        </is>
      </c>
    </row>
    <row r="2"/>
    <row r="3" ht="24.95" customHeight="1" s="29">
      <c r="A3" s="1" t="inlineStr">
        <is>
          <t>السنة</t>
        </is>
      </c>
      <c r="B3" s="1" t="inlineStr">
        <is>
          <t>كمية الأمطار (mm)</t>
        </is>
      </c>
      <c r="C3" s="1" t="inlineStr">
        <is>
          <t>سرعة الرياح (km/h)</t>
        </is>
      </c>
      <c r="D3" s="1" t="inlineStr">
        <is>
          <t>درجة الحرارة العظمى (°C)</t>
        </is>
      </c>
      <c r="E3" s="1" t="inlineStr">
        <is>
          <t>هل حدث ضرر؟</t>
        </is>
      </c>
      <c r="F3" s="1" t="inlineStr">
        <is>
          <t>قيمة الضرر (ريال)</t>
        </is>
      </c>
      <c r="G3" s="1" t="inlineStr">
        <is>
          <t>قيمة الممتلكات (ريال)</t>
        </is>
      </c>
    </row>
    <row r="4" ht="20.1" customHeight="1" s="29">
      <c r="A4" s="2" t="n">
        <v>2017</v>
      </c>
      <c r="B4" s="3" t="n">
        <v>42</v>
      </c>
      <c r="C4" s="4" t="n">
        <v>28</v>
      </c>
      <c r="D4" s="4" t="n">
        <v>43</v>
      </c>
      <c r="E4" s="2" t="inlineStr">
        <is>
          <t>لا</t>
        </is>
      </c>
      <c r="F4" s="5" t="n">
        <v>0</v>
      </c>
      <c r="G4" s="5" t="n">
        <v>250000</v>
      </c>
    </row>
    <row r="5" ht="20.1" customHeight="1" s="29">
      <c r="A5" s="2" t="n">
        <v>2018</v>
      </c>
      <c r="B5" s="3" t="n">
        <v>68</v>
      </c>
      <c r="C5" s="4" t="n">
        <v>35</v>
      </c>
      <c r="D5" s="4" t="n">
        <v>41</v>
      </c>
      <c r="E5" s="2" t="inlineStr">
        <is>
          <t>لا</t>
        </is>
      </c>
      <c r="F5" s="5" t="n">
        <v>0</v>
      </c>
      <c r="G5" s="5" t="n">
        <v>250000</v>
      </c>
    </row>
    <row r="6" ht="20.1" customHeight="1" s="29">
      <c r="A6" s="2" t="n">
        <v>2019</v>
      </c>
      <c r="B6" s="3" t="n">
        <v>91</v>
      </c>
      <c r="C6" s="4" t="n">
        <v>52</v>
      </c>
      <c r="D6" s="4" t="n">
        <v>44</v>
      </c>
      <c r="E6" s="2" t="inlineStr">
        <is>
          <t>نعم</t>
        </is>
      </c>
      <c r="F6" s="5" t="n">
        <v>18000</v>
      </c>
      <c r="G6" s="5" t="n">
        <v>250000</v>
      </c>
    </row>
    <row r="7" ht="20.1" customHeight="1" s="29">
      <c r="A7" s="2" t="n">
        <v>2020</v>
      </c>
      <c r="B7" s="3" t="n">
        <v>90</v>
      </c>
      <c r="C7" s="4" t="n">
        <v>48</v>
      </c>
      <c r="D7" s="4" t="n">
        <v>45</v>
      </c>
      <c r="E7" s="2" t="inlineStr">
        <is>
          <t>نعم</t>
        </is>
      </c>
      <c r="F7" s="5" t="n">
        <v>12000</v>
      </c>
      <c r="G7" s="5" t="n">
        <v>250000</v>
      </c>
    </row>
    <row r="8" ht="20.1" customHeight="1" s="29">
      <c r="A8" s="2" t="n">
        <v>2021</v>
      </c>
      <c r="B8" s="3" t="n">
        <v>53</v>
      </c>
      <c r="C8" s="4" t="n">
        <v>30</v>
      </c>
      <c r="D8" s="4" t="n">
        <v>42</v>
      </c>
      <c r="E8" s="2" t="inlineStr">
        <is>
          <t>لا</t>
        </is>
      </c>
      <c r="F8" s="5" t="n">
        <v>0</v>
      </c>
      <c r="G8" s="5" t="n">
        <v>250000</v>
      </c>
    </row>
    <row r="9" ht="20.1" customHeight="1" s="29">
      <c r="A9" s="2" t="n">
        <v>2022</v>
      </c>
      <c r="B9" s="3" t="n">
        <v>110</v>
      </c>
      <c r="C9" s="4" t="n">
        <v>62</v>
      </c>
      <c r="D9" s="4" t="n">
        <v>46</v>
      </c>
      <c r="E9" s="2" t="inlineStr">
        <is>
          <t>نعم</t>
        </is>
      </c>
      <c r="F9" s="5" t="n">
        <v>35000</v>
      </c>
      <c r="G9" s="5" t="n">
        <v>250000</v>
      </c>
    </row>
    <row r="10" ht="20.1" customHeight="1" s="29">
      <c r="A10" s="2" t="n">
        <v>2023</v>
      </c>
      <c r="B10" s="3" t="n">
        <v>82</v>
      </c>
      <c r="C10" s="4" t="n">
        <v>45</v>
      </c>
      <c r="D10" s="4" t="n">
        <v>43</v>
      </c>
      <c r="E10" s="2" t="inlineStr">
        <is>
          <t>لا</t>
        </is>
      </c>
      <c r="F10" s="5" t="n">
        <v>0</v>
      </c>
      <c r="G10" s="5" t="n">
        <v>250000</v>
      </c>
    </row>
    <row r="11" ht="20.1" customHeight="1" s="29">
      <c r="A11" s="2" t="n">
        <v>2024</v>
      </c>
      <c r="B11" s="3" t="n">
        <v>125</v>
      </c>
      <c r="C11" s="4" t="n">
        <v>68</v>
      </c>
      <c r="D11" s="4" t="n">
        <v>47</v>
      </c>
      <c r="E11" s="2" t="inlineStr">
        <is>
          <t>نعم</t>
        </is>
      </c>
      <c r="F11" s="5" t="n">
        <v>47000</v>
      </c>
      <c r="G11" s="5" t="n">
        <v>250000</v>
      </c>
    </row>
    <row r="12" ht="20.1" customHeight="1" s="29">
      <c r="A12" s="2" t="n">
        <v>2025</v>
      </c>
      <c r="B12" s="3" t="n">
        <v>61</v>
      </c>
      <c r="C12" s="4" t="n">
        <v>38</v>
      </c>
      <c r="D12" s="4" t="n">
        <v>44</v>
      </c>
      <c r="E12" s="2" t="inlineStr">
        <is>
          <t>لا</t>
        </is>
      </c>
      <c r="F12" s="5" t="n">
        <v>0</v>
      </c>
      <c r="G12" s="5" t="n">
        <v>250000</v>
      </c>
    </row>
    <row r="13">
      <c r="A13" s="2" t="n"/>
      <c r="B13" s="3" t="n"/>
      <c r="C13" s="4" t="n"/>
      <c r="D13" s="4" t="n"/>
      <c r="E13" s="2" t="n"/>
      <c r="F13" s="5" t="n"/>
      <c r="G13" s="5" t="n"/>
    </row>
    <row r="14" ht="34" customHeight="1" s="29">
      <c r="A14" s="33" t="inlineStr">
        <is>
          <t>تنبيه مهم:</t>
        </is>
      </c>
      <c r="B14" s="34" t="inlineStr">
        <is>
          <t>البيانات للفترة 2017–2025 تجريبية لأغراض اختبار النموذج، وليست سجلات مناخية رسمية أو بيانات موثقة لمنطقة محددة.</t>
        </is>
      </c>
      <c r="C14" s="35" t="n"/>
      <c r="D14" s="35" t="n"/>
      <c r="E14" s="35" t="n"/>
      <c r="F14" s="35" t="n"/>
      <c r="G14" s="36" t="n"/>
    </row>
    <row r="15" ht="30" customHeight="1" s="29">
      <c r="A15" s="37" t="inlineStr">
        <is>
          <t>طريقة الاستخدام:</t>
        </is>
      </c>
      <c r="B15" s="38" t="inlineStr">
        <is>
          <t>استخدمي هذه البيانات لاختبار الحسابات ومقارنة حدود التعويض فقط، مع توضيح أنها بيانات تجريبية.</t>
        </is>
      </c>
      <c r="C15" s="35" t="n"/>
      <c r="D15" s="35" t="n"/>
      <c r="E15" s="35" t="n"/>
      <c r="F15" s="35" t="n"/>
      <c r="G15" s="36" t="n"/>
    </row>
    <row r="16">
      <c r="A16" s="2" t="n"/>
      <c r="B16" s="3" t="n"/>
      <c r="C16" s="4" t="n"/>
      <c r="D16" s="4" t="n"/>
      <c r="E16" s="2" t="n"/>
      <c r="F16" s="5" t="n"/>
      <c r="G16" s="5" t="n"/>
    </row>
    <row r="17">
      <c r="A17" s="2" t="n"/>
      <c r="B17" s="3" t="n"/>
      <c r="C17" s="4" t="n"/>
      <c r="D17" s="4" t="n"/>
      <c r="E17" s="2" t="n"/>
      <c r="F17" s="5" t="n"/>
      <c r="G17" s="5" t="n"/>
    </row>
    <row r="18">
      <c r="A18" s="2" t="n"/>
      <c r="B18" s="3" t="n"/>
      <c r="C18" s="4" t="n"/>
      <c r="D18" s="4" t="n"/>
      <c r="E18" s="2" t="n"/>
      <c r="F18" s="5" t="n"/>
      <c r="G18" s="5" t="n"/>
    </row>
    <row r="19">
      <c r="A19" s="2" t="n"/>
      <c r="B19" s="3" t="n"/>
      <c r="C19" s="4" t="n"/>
      <c r="D19" s="4" t="n"/>
      <c r="E19" s="2" t="n"/>
      <c r="F19" s="5" t="n"/>
      <c r="G19" s="5" t="n"/>
    </row>
    <row r="20">
      <c r="A20" s="2" t="n"/>
      <c r="B20" s="3" t="n"/>
      <c r="C20" s="4" t="n"/>
      <c r="D20" s="4" t="n"/>
      <c r="E20" s="2" t="n"/>
      <c r="F20" s="5" t="n"/>
      <c r="G20" s="5" t="n"/>
    </row>
    <row r="21">
      <c r="A21" s="2" t="n"/>
      <c r="B21" s="3" t="n"/>
      <c r="C21" s="4" t="n"/>
      <c r="D21" s="4" t="n"/>
      <c r="E21" s="2" t="n"/>
      <c r="F21" s="5" t="n"/>
      <c r="G21" s="5" t="n"/>
    </row>
    <row r="22">
      <c r="A22" s="2" t="n"/>
      <c r="B22" s="3" t="n"/>
      <c r="C22" s="4" t="n"/>
      <c r="D22" s="4" t="n"/>
      <c r="E22" s="2" t="n"/>
      <c r="F22" s="5" t="n"/>
      <c r="G22" s="5" t="n"/>
    </row>
    <row r="23">
      <c r="A23" s="2" t="n"/>
      <c r="B23" s="3" t="n"/>
      <c r="C23" s="4" t="n"/>
      <c r="D23" s="4" t="n"/>
      <c r="E23" s="2" t="n"/>
      <c r="F23" s="5" t="n"/>
      <c r="G23" s="5" t="n"/>
    </row>
    <row r="24"/>
    <row r="25" ht="36" customHeight="1" s="29">
      <c r="A25" s="30" t="n"/>
      <c r="B25" s="31" t="n"/>
    </row>
    <row r="26" ht="30" customHeight="1" s="29">
      <c r="A26" s="2" t="n"/>
      <c r="B26" s="32" t="n"/>
    </row>
  </sheetData>
  <mergeCells count="3">
    <mergeCell ref="B14:G14"/>
    <mergeCell ref="B15:G15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3.5"/>
  <cols>
    <col width="44.01171875" customWidth="1" style="29" min="1" max="1"/>
    <col width="99.0546875" customWidth="1" style="29" min="2" max="2"/>
  </cols>
  <sheetData>
    <row r="1" ht="35.1" customHeight="1" s="29">
      <c r="A1" s="28" t="inlineStr">
        <is>
          <t>المؤشرات الإحصائية والمناخية الرئيسية</t>
        </is>
      </c>
    </row>
    <row r="2" ht="24.95" customHeight="1" s="29">
      <c r="A2" s="1" t="inlineStr">
        <is>
          <t>المؤشر</t>
        </is>
      </c>
      <c r="B2" s="1" t="inlineStr">
        <is>
          <t>القيمة</t>
        </is>
      </c>
    </row>
    <row r="3" ht="20.1" customHeight="1" s="29">
      <c r="A3" s="8" t="inlineStr">
        <is>
          <t>عدد السنوات المسجلة</t>
        </is>
      </c>
      <c r="B3" s="9">
        <f>COUNT('البيانات الشاملة للطقس'!A4:A100)</f>
        <v/>
      </c>
    </row>
    <row r="4" ht="20.1" customHeight="1" s="29">
      <c r="A4" s="8" t="inlineStr">
        <is>
          <t>عدد سنوات حدوث الضرر</t>
        </is>
      </c>
      <c r="B4" s="9">
        <f>COUNTIF('البيانات الشاملة للطقس'!E4:E100,"نعم")</f>
        <v/>
      </c>
    </row>
    <row r="5" ht="20.1" customHeight="1" s="29">
      <c r="A5" s="8" t="inlineStr">
        <is>
          <t>احتمال حدوث الضرر</t>
        </is>
      </c>
      <c r="B5" s="10">
        <f>IFERROR(B3/B2,0)</f>
        <v/>
      </c>
    </row>
    <row r="6" ht="20.1" customHeight="1" s="29">
      <c r="A6" s="8" t="inlineStr">
        <is>
          <t>متوسط كمية الأمطار السنوية</t>
        </is>
      </c>
      <c r="B6" s="11">
        <f>IFERROR(AVERAGE('البيانات الشاملة للطقس'!B4:B100),0)</f>
        <v/>
      </c>
    </row>
    <row r="7" ht="20.1" customHeight="1" s="29">
      <c r="A7" s="8" t="inlineStr">
        <is>
          <t>متوسط سرعة الرياح</t>
        </is>
      </c>
      <c r="B7" s="12">
        <f>IFERROR(AVERAGE('البيانات الشاملة للطقس'!C4:C100),0)</f>
        <v/>
      </c>
    </row>
    <row r="8" ht="20.1" customHeight="1" s="29">
      <c r="A8" s="8" t="inlineStr">
        <is>
          <t>متوسط درجة الحرارة العظمى</t>
        </is>
      </c>
      <c r="B8" s="13">
        <f>IFERROR(AVERAGE('البيانات الشاملة للطقس'!D4:D100),0)</f>
        <v/>
      </c>
    </row>
    <row r="9" ht="20.1" customHeight="1" s="29">
      <c r="A9" s="8" t="inlineStr">
        <is>
          <t>متوسط قيمة الضرر عند حدوثه</t>
        </is>
      </c>
      <c r="B9" s="14">
        <f>IFERROR(AVERAGEIF('البيانات الشاملة للطقس'!E4:E100,"نعم",'البيانات الشاملة للطقس'!F4:F100),0)</f>
        <v/>
      </c>
    </row>
    <row r="10" ht="20.1" customHeight="1" s="29">
      <c r="A10" s="8" t="inlineStr">
        <is>
          <t>الخسارة السنوية المتوقعة</t>
        </is>
      </c>
      <c r="B10" s="14">
        <f>B4*B8</f>
        <v/>
      </c>
    </row>
    <row r="11" ht="20.1" customHeight="1" s="29">
      <c r="A11" s="8" t="inlineStr">
        <is>
          <t>متوسط قيمة الممتلكات</t>
        </is>
      </c>
      <c r="B11" s="14">
        <f>IFERROR(AVERAGE('البيانات الشاملة للطقس'!G4:G100),0)</f>
        <v/>
      </c>
    </row>
    <row r="12" ht="20.1" customHeight="1" s="29">
      <c r="A12" s="8" t="inlineStr">
        <is>
          <t>معدل الخسارة المتوقعة من قيمة الممتلكات</t>
        </is>
      </c>
      <c r="B12" s="15">
        <f>IFERROR(B9/B10,0)</f>
        <v/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rightToLeft="1" topLeftCell="B1" workbookViewId="0">
      <selection activeCell="A1" sqref="A1"/>
    </sheetView>
  </sheetViews>
  <sheetFormatPr baseColWidth="8" defaultRowHeight="13.5"/>
  <cols>
    <col width="30.03515625" customWidth="1" style="29" min="1" max="1"/>
    <col width="56.0234375" customWidth="1" style="29" min="2" max="2"/>
    <col width="61.05078125" customWidth="1" style="29" min="3" max="3"/>
    <col width="101.99609375" customWidth="1" style="29" min="4" max="4"/>
    <col width="30.03515625" customWidth="1" style="29" min="5" max="5"/>
    <col width="37.0234375" customWidth="1" style="29" min="6" max="6"/>
    <col width="44.01171875" customWidth="1" style="29" min="7" max="7"/>
    <col width="27.94921875" customWidth="1" style="29" min="8" max="8"/>
  </cols>
  <sheetData>
    <row r="1" ht="35.1" customHeight="1" s="29">
      <c r="A1" s="28" t="inlineStr">
        <is>
          <t>تحليل نقاط التعويض البارامتري (لكمية الأمطار)</t>
        </is>
      </c>
    </row>
    <row r="2"/>
    <row r="3" ht="24.95" customHeight="1" s="29">
      <c r="A3" s="1" t="inlineStr">
        <is>
          <t>نقطة التعويض (الأمطار mm)</t>
        </is>
      </c>
      <c r="B3" s="1" t="inlineStr">
        <is>
          <t>عدد مرات التجاوز</t>
        </is>
      </c>
      <c r="C3" s="1" t="inlineStr">
        <is>
          <t>احتمال التجاوز</t>
        </is>
      </c>
      <c r="D3" s="1" t="inlineStr">
        <is>
          <t>متوسط الضرر عند الحدوث</t>
        </is>
      </c>
      <c r="E3" s="1" t="inlineStr">
        <is>
          <t>الخسارة المتوقعة عند الحد</t>
        </is>
      </c>
      <c r="F3" s="1" t="inlineStr">
        <is>
          <t>مؤشر العدالة</t>
        </is>
      </c>
      <c r="G3" s="1" t="inlineStr">
        <is>
          <t>مؤشر التوازن</t>
        </is>
      </c>
      <c r="H3" s="1" t="inlineStr">
        <is>
          <t>التقييم النهائي</t>
        </is>
      </c>
    </row>
    <row r="4" ht="20.1" customHeight="1" s="29">
      <c r="A4" s="4" t="n">
        <v>60</v>
      </c>
      <c r="B4" s="4">
        <f>COUNTIF('البيانات الشاملة للطقس'!B4:B100,"&gt;="&amp;A4)</f>
        <v/>
      </c>
      <c r="C4" s="16">
        <f>IFERROR(B4/COUNTA('البيانات الشاملة للطقس'!A4:A100),0)</f>
        <v/>
      </c>
      <c r="D4" s="17">
        <f>IFERROR(AVERAGEIF('البيانات الشاملة للطقس'!B4:B100,"&gt;="&amp;A4,'البيانات الشاملة للطقس'!F4:F100),0)</f>
        <v/>
      </c>
      <c r="E4" s="17">
        <f>C4*D4</f>
        <v/>
      </c>
      <c r="F4" s="18">
        <f>IFERROR(100-ABS(C4-0.5)*200,0)</f>
        <v/>
      </c>
      <c r="G4" s="18">
        <f>IFERROR(F4*(1-E4/MAX($E$4:$E$12)),0)</f>
        <v/>
      </c>
      <c r="H4" s="18">
        <f>IFERROR((F4+G4)/2,0)</f>
        <v/>
      </c>
    </row>
    <row r="5" ht="20.1" customHeight="1" s="29">
      <c r="A5" s="4" t="n">
        <v>65</v>
      </c>
      <c r="B5" s="4">
        <f>COUNTIF('البيانات الشاملة للطقس'!B4:B100,"&gt;="&amp;A5)</f>
        <v/>
      </c>
      <c r="C5" s="16">
        <f>IFERROR(B5/COUNTA('البيانات الشاملة للطقس'!A4:A100),0)</f>
        <v/>
      </c>
      <c r="D5" s="17">
        <f>IFERROR(AVERAGEIF('البيانات الشاملة للطقس'!B4:B100,"&gt;="&amp;A5,'البيانات الشاملة للطقس'!F4:F100),0)</f>
        <v/>
      </c>
      <c r="E5" s="17">
        <f>C5*D5</f>
        <v/>
      </c>
      <c r="F5" s="18">
        <f>IFERROR(100-ABS(C5-0.5)*200,0)</f>
        <v/>
      </c>
      <c r="G5" s="18">
        <f>IFERROR(F5*(1-E5/MAX($E$4:$E$12)),0)</f>
        <v/>
      </c>
      <c r="H5" s="18">
        <f>IFERROR((F5+G5)/2,0)</f>
        <v/>
      </c>
    </row>
    <row r="6" ht="20.1" customHeight="1" s="29">
      <c r="A6" s="4" t="n">
        <v>70</v>
      </c>
      <c r="B6" s="4">
        <f>COUNTIF('البيانات الشاملة للطقس'!B4:B100,"&gt;="&amp;A6)</f>
        <v/>
      </c>
      <c r="C6" s="16">
        <f>IFERROR(B6/COUNTA('البيانات الشاملة للطقس'!A4:A100),0)</f>
        <v/>
      </c>
      <c r="D6" s="17">
        <f>IFERROR(AVERAGEIF('البيانات الشاملة للطقس'!B4:B100,"&gt;="&amp;A6,'البيانات الشاملة للطقس'!F4:F100),0)</f>
        <v/>
      </c>
      <c r="E6" s="17">
        <f>C6*D6</f>
        <v/>
      </c>
      <c r="F6" s="18">
        <f>IFERROR(100-ABS(C6-0.5)*200,0)</f>
        <v/>
      </c>
      <c r="G6" s="18">
        <f>IFERROR(F6*(1-E6/MAX($E$4:$E$12)),0)</f>
        <v/>
      </c>
      <c r="H6" s="18">
        <f>IFERROR((F6+G6)/2,0)</f>
        <v/>
      </c>
    </row>
    <row r="7" ht="20.1" customHeight="1" s="29">
      <c r="A7" s="4" t="n">
        <v>75</v>
      </c>
      <c r="B7" s="4">
        <f>COUNTIF('البيانات الشاملة للطقس'!B4:B100,"&gt;="&amp;A7)</f>
        <v/>
      </c>
      <c r="C7" s="16">
        <f>IFERROR(B7/COUNTA('البيانات الشاملة للطقس'!A4:A100),0)</f>
        <v/>
      </c>
      <c r="D7" s="17">
        <f>IFERROR(AVERAGEIF('البيانات الشاملة للطقس'!B4:B100,"&gt;="&amp;A7,'البيانات الشاملة للطقس'!F4:F100),0)</f>
        <v/>
      </c>
      <c r="E7" s="17">
        <f>C7*D7</f>
        <v/>
      </c>
      <c r="F7" s="18">
        <f>IFERROR(100-ABS(C7-0.5)*200,0)</f>
        <v/>
      </c>
      <c r="G7" s="18">
        <f>IFERROR(F7*(1-E7/MAX($E$4:$E$12)),0)</f>
        <v/>
      </c>
      <c r="H7" s="18">
        <f>IFERROR((F7+G7)/2,0)</f>
        <v/>
      </c>
    </row>
    <row r="8" ht="20.1" customHeight="1" s="29">
      <c r="A8" s="4" t="n">
        <v>80</v>
      </c>
      <c r="B8" s="4">
        <f>COUNTIF('البيانات الشاملة للطقس'!B4:B100,"&gt;="&amp;A8)</f>
        <v/>
      </c>
      <c r="C8" s="16">
        <f>IFERROR(B8/COUNTA('البيانات الشاملة للطقس'!A4:A100),0)</f>
        <v/>
      </c>
      <c r="D8" s="17">
        <f>IFERROR(AVERAGEIF('البيانات الشاملة للطقس'!B4:B100,"&gt;="&amp;A8,'البيانات الشاملة للطقس'!F4:F100),0)</f>
        <v/>
      </c>
      <c r="E8" s="17">
        <f>C8*D8</f>
        <v/>
      </c>
      <c r="F8" s="18">
        <f>IFERROR(100-ABS(C8-0.5)*200,0)</f>
        <v/>
      </c>
      <c r="G8" s="18">
        <f>IFERROR(F8*(1-E8/MAX($E$4:$E$12)),0)</f>
        <v/>
      </c>
      <c r="H8" s="18">
        <f>IFERROR((F8+G8)/2,0)</f>
        <v/>
      </c>
    </row>
    <row r="9" ht="20.1" customHeight="1" s="29">
      <c r="A9" s="4" t="n">
        <v>85</v>
      </c>
      <c r="B9" s="4">
        <f>COUNTIF('البيانات الشاملة للطقس'!B4:B100,"&gt;="&amp;A9)</f>
        <v/>
      </c>
      <c r="C9" s="16">
        <f>IFERROR(B9/COUNTA('البيانات الشاملة للطقس'!A4:A100),0)</f>
        <v/>
      </c>
      <c r="D9" s="17">
        <f>IFERROR(AVERAGEIF('البيانات الشاملة للطقس'!B4:B100,"&gt;="&amp;A9,'البيانات الشاملة للطقس'!F4:F100),0)</f>
        <v/>
      </c>
      <c r="E9" s="17">
        <f>C9*D9</f>
        <v/>
      </c>
      <c r="F9" s="18">
        <f>IFERROR(100-ABS(C9-0.5)*200,0)</f>
        <v/>
      </c>
      <c r="G9" s="18">
        <f>IFERROR(F9*(1-E9/MAX($E$4:$E$12)),0)</f>
        <v/>
      </c>
      <c r="H9" s="18">
        <f>IFERROR((F9+G9)/2,0)</f>
        <v/>
      </c>
    </row>
    <row r="10" ht="20.1" customHeight="1" s="29">
      <c r="A10" s="4" t="n">
        <v>90</v>
      </c>
      <c r="B10" s="4">
        <f>COUNTIF('البيانات الشاملة للطقس'!B4:B100,"&gt;="&amp;A10)</f>
        <v/>
      </c>
      <c r="C10" s="16">
        <f>IFERROR(B10/COUNTA('البيانات الشاملة للطقس'!A4:A100),0)</f>
        <v/>
      </c>
      <c r="D10" s="17">
        <f>IFERROR(AVERAGEIF('البيانات الشاملة للطقس'!B4:B100,"&gt;="&amp;A10,'البيانات الشاملة للطقس'!F4:F100),0)</f>
        <v/>
      </c>
      <c r="E10" s="17">
        <f>C10*D10</f>
        <v/>
      </c>
      <c r="F10" s="18">
        <f>IFERROR(100-ABS(C10-0.5)*200,0)</f>
        <v/>
      </c>
      <c r="G10" s="18">
        <f>IFERROR(F10*(1-E10/MAX($E$4:$E$12)),0)</f>
        <v/>
      </c>
      <c r="H10" s="18">
        <f>IFERROR((F10+G10)/2,0)</f>
        <v/>
      </c>
    </row>
    <row r="11" ht="20.1" customHeight="1" s="29">
      <c r="A11" s="4" t="n">
        <v>95</v>
      </c>
      <c r="B11" s="4">
        <f>COUNTIF('البيانات الشاملة للطقس'!B4:B100,"&gt;="&amp;A11)</f>
        <v/>
      </c>
      <c r="C11" s="16">
        <f>IFERROR(B11/COUNTA('البيانات الشاملة للطقس'!A4:A100),0)</f>
        <v/>
      </c>
      <c r="D11" s="17">
        <f>IFERROR(AVERAGEIF('البيانات الشاملة للطقس'!B4:B100,"&gt;="&amp;A11,'البيانات الشاملة للطقس'!F4:F100),0)</f>
        <v/>
      </c>
      <c r="E11" s="17">
        <f>C11*D11</f>
        <v/>
      </c>
      <c r="F11" s="18">
        <f>IFERROR(100-ABS(C11-0.5)*200,0)</f>
        <v/>
      </c>
      <c r="G11" s="18">
        <f>IFERROR(F11*(1-E11/MAX($E$4:$E$12)),0)</f>
        <v/>
      </c>
      <c r="H11" s="18">
        <f>IFERROR((F11+G11)/2,0)</f>
        <v/>
      </c>
    </row>
    <row r="12" ht="20.1" customHeight="1" s="29">
      <c r="A12" s="4" t="n">
        <v>100</v>
      </c>
      <c r="B12" s="4">
        <f>COUNTIF('البيانات الشاملة للطقس'!B4:B100,"&gt;="&amp;A12)</f>
        <v/>
      </c>
      <c r="C12" s="16">
        <f>IFERROR(B12/COUNTA('البيانات الشاملة للطقس'!A4:A100),0)</f>
        <v/>
      </c>
      <c r="D12" s="17">
        <f>IFERROR(AVERAGEIF('البيانات الشاملة للطقس'!B4:B100,"&gt;="&amp;A12,'البيانات الشاملة للطقس'!F4:F100),0)</f>
        <v/>
      </c>
      <c r="E12" s="17">
        <f>C12*D12</f>
        <v/>
      </c>
      <c r="F12" s="18">
        <f>IFERROR(100-ABS(C12-0.5)*200,0)</f>
        <v/>
      </c>
      <c r="G12" s="18">
        <f>IFERROR(F12*(1-E12/MAX($E$4:$E$12)),0)</f>
        <v/>
      </c>
      <c r="H12" s="18">
        <f>IFERROR((F12+G12)/2,0)</f>
        <v/>
      </c>
    </row>
    <row r="13"/>
    <row r="14" ht="15" customHeight="1" s="29">
      <c r="A14" s="6" t="inlineStr">
        <is>
          <t>أفضل نقطة تعويض للأمطار</t>
        </is>
      </c>
      <c r="B14" s="19">
        <f>INDEX(A4:A12,MATCH(MAX(H4:H12),H4:H12,0))</f>
        <v/>
      </c>
    </row>
    <row r="15" ht="15" customHeight="1" s="29">
      <c r="A15" s="6" t="inlineStr">
        <is>
          <t>أعلى تقييم للتوازن</t>
        </is>
      </c>
      <c r="B15" s="20">
        <f>MAX(H4:H12)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selection activeCell="A32" sqref="A32"/>
    </sheetView>
  </sheetViews>
  <sheetFormatPr baseColWidth="8" defaultRowHeight="13.5"/>
  <cols>
    <col width="53.94140625" customWidth="1" style="29" min="1" max="1"/>
    <col width="64.97265625" customWidth="1" style="29" min="2" max="2"/>
    <col width="15.93359375" customWidth="1" style="29" min="3" max="4"/>
  </cols>
  <sheetData>
    <row r="1" ht="35.1" customHeight="1" s="29">
      <c r="A1" s="28" t="inlineStr">
        <is>
          <t>مرصد رسكورا — ملخص نتائج التأمين البارامتري وحاسبة السيناريو</t>
        </is>
      </c>
    </row>
    <row r="2"/>
    <row r="3" ht="15" customHeight="1" s="29">
      <c r="A3" s="21" t="inlineStr">
        <is>
          <t>المؤشر المناخي / المالي</t>
        </is>
      </c>
      <c r="B3" s="21" t="inlineStr">
        <is>
          <t>القيمة</t>
        </is>
      </c>
    </row>
    <row r="4" ht="20.1" customHeight="1" s="29">
      <c r="A4" s="8" t="inlineStr">
        <is>
          <t>احتمال حدوث الضرر</t>
        </is>
      </c>
      <c r="B4" s="10">
        <f>'الحسابات والمؤشرات'!B4</f>
        <v/>
      </c>
    </row>
    <row r="5" ht="20.1" customHeight="1" s="29">
      <c r="A5" s="8" t="inlineStr">
        <is>
          <t>متوسط كمية الأمطار</t>
        </is>
      </c>
      <c r="B5" s="11">
        <f>'الحسابات والمؤشرات'!B5</f>
        <v/>
      </c>
    </row>
    <row r="6" ht="20.1" customHeight="1" s="29">
      <c r="A6" s="8" t="inlineStr">
        <is>
          <t>متوسط سرعة الرياح</t>
        </is>
      </c>
      <c r="B6" s="12">
        <f>'الحسابات والمؤشرات'!B6</f>
        <v/>
      </c>
    </row>
    <row r="7" ht="20.1" customHeight="1" s="29">
      <c r="A7" s="8" t="inlineStr">
        <is>
          <t>متوسط درجة الحرارة العظمى</t>
        </is>
      </c>
      <c r="B7" s="13">
        <f>'الحسابات والمؤشرات'!B7</f>
        <v/>
      </c>
    </row>
    <row r="8" ht="20.1" customHeight="1" s="29">
      <c r="A8" s="8" t="inlineStr">
        <is>
          <t>متوسط الضرر عند حدوثه</t>
        </is>
      </c>
      <c r="B8" s="14">
        <f>'الحسابات والمؤشرات'!B8</f>
        <v/>
      </c>
    </row>
    <row r="9" ht="20.1" customHeight="1" s="29">
      <c r="A9" s="8" t="inlineStr">
        <is>
          <t>الخسارة السنوية المتوقعة</t>
        </is>
      </c>
      <c r="B9" s="14">
        <f>'الحسابات والمؤشرات'!B9</f>
        <v/>
      </c>
    </row>
    <row r="10" ht="20.1" customHeight="1" s="29">
      <c r="A10" s="8" t="inlineStr">
        <is>
          <t>متوسط قيمة الممتلكات</t>
        </is>
      </c>
      <c r="B10" s="14">
        <f>'الحسابات والمؤشرات'!B10</f>
        <v/>
      </c>
    </row>
    <row r="11" ht="20.1" customHeight="1" s="29">
      <c r="A11" s="8" t="inlineStr">
        <is>
          <t>معدل الخسارة المتوقعة</t>
        </is>
      </c>
      <c r="B11" s="15">
        <f>'الحسابات والمؤشرات'!B11</f>
        <v/>
      </c>
    </row>
    <row r="12"/>
    <row r="13" ht="24.95" customHeight="1" s="29">
      <c r="A13" s="22" t="inlineStr">
        <is>
          <t>⚙️ حاسبة سيناريو الطقس التجريبية</t>
        </is>
      </c>
    </row>
    <row r="14" ht="21.95" customHeight="1" s="29">
      <c r="A14" s="8" t="inlineStr">
        <is>
          <t>كمية الأمطار المسجلة (mm)</t>
        </is>
      </c>
      <c r="B14" s="11" t="n">
        <v>75</v>
      </c>
    </row>
    <row r="15" ht="21.95" customHeight="1" s="29">
      <c r="A15" s="8" t="inlineStr">
        <is>
          <t>سرعة الرياح المسجلة (km/h)</t>
        </is>
      </c>
      <c r="B15" s="23" t="n">
        <v>50</v>
      </c>
    </row>
    <row r="16" ht="21.95" customHeight="1" s="29">
      <c r="A16" s="8" t="inlineStr">
        <is>
          <t>درجة الحرارة العظمى (°C)</t>
        </is>
      </c>
      <c r="B16" s="24" t="n">
        <v>44</v>
      </c>
    </row>
    <row r="17" ht="21.95" customHeight="1" s="29">
      <c r="A17" s="8" t="inlineStr">
        <is>
          <t>قيمة الممتلكات المؤمن عليها (ريال)</t>
        </is>
      </c>
      <c r="B17" s="14" t="n">
        <v>250000</v>
      </c>
    </row>
    <row r="18" ht="21.95" customHeight="1" s="29">
      <c r="A18" s="8" t="inlineStr">
        <is>
          <t>نسبة التعويض عند تفعيل الحد البارامتري</t>
        </is>
      </c>
      <c r="B18" s="10" t="n">
        <v>0.15</v>
      </c>
    </row>
    <row r="19" ht="21.95" customHeight="1" s="29">
      <c r="A19" s="25" t="inlineStr">
        <is>
          <t>هل تم تجاوز حد الأمطار (75mm) أو الرياح (50km/h)؟</t>
        </is>
      </c>
      <c r="B19" s="26">
        <f>IF(OR(B14&gt;=75, B15&gt;=50), "نعم - يستحق تعويض", "لا - طبيعي")</f>
        <v/>
      </c>
    </row>
    <row r="20" ht="21.95" customHeight="1" s="29">
      <c r="A20" s="25" t="inlineStr">
        <is>
          <t>قيمة التعويض المستحق (ريال)</t>
        </is>
      </c>
      <c r="B20" s="27">
        <f>IF(OR(B14&gt;=75, B15&gt;=50), B17*B18, 0)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2026-10-18T17:45:12Z</dcterms:created>
  <dcterms:modified xmlns:dcterms="http://purl.org/dc/terms/" xmlns:xsi="http://www.w3.org/2001/XMLSchema-instance" xsi:type="dcterms:W3CDTF">2026-10-18T18:38:39Z</dcterms:modified>
</cp:coreProperties>
</file>